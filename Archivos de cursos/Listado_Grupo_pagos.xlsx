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UL\Desktop\Raúl Mena\Programación\Proyecto 4 (PaginaWeb)\Archivos de cursos\"/>
    </mc:Choice>
  </mc:AlternateContent>
  <xr:revisionPtr revIDLastSave="0" documentId="13_ncr:1_{E06C4265-CE1F-47BA-AF91-071681736A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stado del Grupo" sheetId="1" r:id="rId1"/>
  </sheets>
  <calcPr calcId="191029"/>
</workbook>
</file>

<file path=xl/calcChain.xml><?xml version="1.0" encoding="utf-8"?>
<calcChain xmlns="http://schemas.openxmlformats.org/spreadsheetml/2006/main">
  <c r="B32" i="1" l="1"/>
  <c r="B31" i="1"/>
  <c r="B30" i="1"/>
  <c r="B29" i="1"/>
  <c r="B28" i="1"/>
  <c r="B27" i="1"/>
</calcChain>
</file>

<file path=xl/sharedStrings.xml><?xml version="1.0" encoding="utf-8"?>
<sst xmlns="http://schemas.openxmlformats.org/spreadsheetml/2006/main" count="56" uniqueCount="37">
  <si>
    <t>📋  LISTADO DEL GRUPO</t>
  </si>
  <si>
    <t>Registro de pagos y solicitudes de paquete completo</t>
  </si>
  <si>
    <t>N°</t>
  </si>
  <si>
    <t>Nombre Completo</t>
  </si>
  <si>
    <t>Teléfono / Contacto</t>
  </si>
  <si>
    <t>¿Pagó?</t>
  </si>
  <si>
    <t>Monto Pagado</t>
  </si>
  <si>
    <t>¿Paquete Completo?</t>
  </si>
  <si>
    <t>Fecha de Pago</t>
  </si>
  <si>
    <t>Observaciones</t>
  </si>
  <si>
    <t>¿Certificado?</t>
  </si>
  <si>
    <t>📊  RESUMEN</t>
  </si>
  <si>
    <t>Total de miembros:</t>
  </si>
  <si>
    <t>INSTRUCCIONES:
• Columna '¿Pagó?': Escribe  SÍ  o  NO
• Columna 'Monto Pagado': Ingresa el monto en soles (S/)
• Columna '¿Paquete Completo?': Escribe  SÍ  o  NO
• Columna '¿Certificado?': Escribe  SÍ  o  NO
• Columna 'Fecha de Pago': Formato  DD/MM/AAAA
• El resumen se actualiza automáticamente</t>
  </si>
  <si>
    <t>Pagaron (SÍ):</t>
  </si>
  <si>
    <t>Pendientes de pago:</t>
  </si>
  <si>
    <t>Solicitan Paquete Completo:</t>
  </si>
  <si>
    <t>Total recaudado:</t>
  </si>
  <si>
    <t>Con Certificado (SÍ):</t>
  </si>
  <si>
    <t>Anthony Salas</t>
  </si>
  <si>
    <t>Elias Fernando</t>
  </si>
  <si>
    <t>Gustavo Alonso Sulca Revi</t>
  </si>
  <si>
    <t>Tania Vargas</t>
  </si>
  <si>
    <t>Yei R</t>
  </si>
  <si>
    <t>525532929726</t>
  </si>
  <si>
    <t>573108612096</t>
  </si>
  <si>
    <t>SI</t>
  </si>
  <si>
    <t>Enviar información de paquete completo</t>
  </si>
  <si>
    <t>Kevin Matías Cordova Paz Soldán</t>
  </si>
  <si>
    <t>José Huanay</t>
  </si>
  <si>
    <t xml:space="preserve">Rohy Escobar </t>
  </si>
  <si>
    <t xml:space="preserve">Julio Chacón </t>
  </si>
  <si>
    <t xml:space="preserve">Harry de Lama Rodríguez </t>
  </si>
  <si>
    <t>Xavier Medina</t>
  </si>
  <si>
    <t>Stefany Torres Paisig</t>
  </si>
  <si>
    <t>NO</t>
  </si>
  <si>
    <t>Solo pagó curso, no paquete 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</si>
</sst>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S/ &quot;#,##0.00"/>
  </numFmts>
  <fonts count="12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0"/>
      <color rgb="FFFFFFFF"/>
      <name val="Arial"/>
    </font>
    <font>
      <b/>
      <sz val="11"/>
      <color rgb="FFFFFFFF"/>
      <name val="Arial"/>
    </font>
    <font>
      <b/>
      <sz val="10"/>
      <color rgb="FF555555"/>
      <name val="Arial"/>
    </font>
    <font>
      <sz val="10"/>
      <name val="Arial"/>
    </font>
    <font>
      <b/>
      <sz val="12"/>
      <color rgb="FFFFFFFF"/>
      <name val="Arial"/>
    </font>
    <font>
      <b/>
      <sz val="10"/>
      <name val="Arial"/>
    </font>
    <font>
      <b/>
      <sz val="11"/>
      <color rgb="FF1A535C"/>
      <name val="Arial"/>
    </font>
    <font>
      <sz val="9"/>
      <color rgb="FF333333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048A81"/>
      </patternFill>
    </fill>
    <fill>
      <patternFill patternType="solid">
        <fgColor rgb="FF1A535C"/>
      </patternFill>
    </fill>
    <fill>
      <patternFill patternType="solid">
        <fgColor rgb="FFFFFFFF"/>
      </patternFill>
    </fill>
    <fill>
      <patternFill patternType="solid">
        <fgColor rgb="FFF0F7F4"/>
      </patternFill>
    </fill>
    <fill>
      <patternFill patternType="solid">
        <fgColor rgb="FFEAF4F4"/>
      </patternFill>
    </fill>
    <fill>
      <patternFill patternType="solid">
        <fgColor rgb="FFD4EFDF"/>
      </patternFill>
    </fill>
    <fill>
      <patternFill patternType="solid">
        <fgColor rgb="FFFFFDE7"/>
      </patternFill>
    </fill>
  </fills>
  <borders count="9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43" fontId="10" fillId="0" borderId="0" applyFont="0" applyFill="0" applyBorder="0" applyAlignment="0" applyProtection="0"/>
  </cellStyleXfs>
  <cellXfs count="28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0" fillId="2" borderId="0" xfId="0" applyFill="1"/>
    <xf numFmtId="0" fontId="7" fillId="7" borderId="1" xfId="0" applyFont="1" applyFill="1" applyBorder="1" applyAlignment="1">
      <alignment horizontal="left" vertical="center" indent="1"/>
    </xf>
    <xf numFmtId="0" fontId="8" fillId="8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164" fontId="8" fillId="8" borderId="1" xfId="0" applyNumberFormat="1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11" fillId="5" borderId="1" xfId="0" applyNumberFormat="1" applyFont="1" applyFill="1" applyBorder="1" applyAlignment="1">
      <alignment horizontal="left" vertical="center"/>
    </xf>
    <xf numFmtId="49" fontId="11" fillId="6" borderId="1" xfId="0" applyNumberFormat="1" applyFont="1" applyFill="1" applyBorder="1" applyAlignment="1">
      <alignment horizontal="left" vertical="center"/>
    </xf>
    <xf numFmtId="43" fontId="0" fillId="0" borderId="0" xfId="1" applyFont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9" fillId="9" borderId="1" xfId="0" applyFont="1" applyFill="1" applyBorder="1" applyAlignment="1">
      <alignment vertical="top" wrapText="1" indent="1"/>
    </xf>
    <xf numFmtId="0" fontId="0" fillId="0" borderId="2" xfId="0" applyBorder="1"/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1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topLeftCell="B1" workbookViewId="0">
      <pane ySplit="4" topLeftCell="A5" activePane="bottomLeft" state="frozen"/>
      <selection pane="bottomLeft" activeCell="F14" sqref="F14"/>
    </sheetView>
  </sheetViews>
  <sheetFormatPr defaultRowHeight="15" x14ac:dyDescent="0.25"/>
  <cols>
    <col min="1" max="1" width="5" customWidth="1"/>
    <col min="2" max="2" width="30.5703125" customWidth="1"/>
    <col min="3" max="3" width="20" customWidth="1"/>
    <col min="4" max="4" width="10" customWidth="1"/>
    <col min="5" max="5" width="15" customWidth="1"/>
    <col min="6" max="6" width="19" customWidth="1"/>
    <col min="7" max="7" width="15" customWidth="1"/>
    <col min="8" max="8" width="35.42578125" customWidth="1"/>
    <col min="9" max="9" width="16" customWidth="1"/>
  </cols>
  <sheetData>
    <row r="1" spans="1:11" ht="39.950000000000003" customHeight="1" x14ac:dyDescent="0.25">
      <c r="A1" s="26" t="s">
        <v>0</v>
      </c>
      <c r="B1" s="20"/>
      <c r="C1" s="20"/>
      <c r="D1" s="20"/>
      <c r="E1" s="20"/>
      <c r="F1" s="20"/>
      <c r="G1" s="20"/>
      <c r="H1" s="20"/>
      <c r="I1" s="20"/>
    </row>
    <row r="2" spans="1:11" ht="21.95" customHeight="1" x14ac:dyDescent="0.25">
      <c r="A2" s="19" t="s">
        <v>1</v>
      </c>
      <c r="B2" s="20"/>
      <c r="C2" s="20"/>
      <c r="D2" s="20"/>
      <c r="E2" s="20"/>
      <c r="F2" s="20"/>
      <c r="G2" s="20"/>
      <c r="H2" s="20"/>
      <c r="I2" s="20"/>
    </row>
    <row r="3" spans="1:11" ht="8.1" customHeight="1" x14ac:dyDescent="0.25"/>
    <row r="4" spans="1:11" ht="30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11" ht="21.95" customHeight="1" x14ac:dyDescent="0.25">
      <c r="A5" s="2">
        <v>1</v>
      </c>
      <c r="B5" s="3" t="s">
        <v>19</v>
      </c>
      <c r="C5" s="3">
        <v>51993049075</v>
      </c>
      <c r="D5" s="4" t="s">
        <v>26</v>
      </c>
      <c r="E5" s="4"/>
      <c r="F5" s="4" t="s">
        <v>26</v>
      </c>
      <c r="G5" s="4"/>
      <c r="H5" s="3" t="s">
        <v>27</v>
      </c>
      <c r="I5" s="4" t="s">
        <v>26</v>
      </c>
    </row>
    <row r="6" spans="1:11" ht="21.95" customHeight="1" x14ac:dyDescent="0.25">
      <c r="A6" s="5">
        <v>2</v>
      </c>
      <c r="B6" s="6" t="s">
        <v>20</v>
      </c>
      <c r="C6" s="6">
        <v>51978352210</v>
      </c>
      <c r="D6" s="7"/>
      <c r="E6" s="7"/>
      <c r="F6" s="7"/>
      <c r="G6" s="7"/>
      <c r="H6" s="6"/>
      <c r="I6" s="7"/>
    </row>
    <row r="7" spans="1:11" ht="21.95" customHeight="1" x14ac:dyDescent="0.25">
      <c r="A7" s="2">
        <v>3</v>
      </c>
      <c r="B7" s="3" t="s">
        <v>21</v>
      </c>
      <c r="C7" s="3">
        <v>51944241851</v>
      </c>
      <c r="D7" s="4" t="s">
        <v>26</v>
      </c>
      <c r="E7" s="4"/>
      <c r="F7" s="4" t="s">
        <v>26</v>
      </c>
      <c r="G7" s="4"/>
      <c r="H7" s="3" t="s">
        <v>27</v>
      </c>
      <c r="I7" s="4" t="s">
        <v>26</v>
      </c>
    </row>
    <row r="8" spans="1:11" ht="21.95" customHeight="1" x14ac:dyDescent="0.25">
      <c r="A8" s="5">
        <v>4</v>
      </c>
      <c r="B8" s="6" t="s">
        <v>29</v>
      </c>
      <c r="C8" s="6">
        <v>51946989370</v>
      </c>
      <c r="D8" s="7"/>
      <c r="E8" s="7"/>
      <c r="F8" s="7"/>
      <c r="G8" s="7"/>
      <c r="H8" s="6"/>
      <c r="I8" s="7"/>
    </row>
    <row r="9" spans="1:11" ht="21.95" customHeight="1" x14ac:dyDescent="0.25">
      <c r="A9" s="2">
        <v>5</v>
      </c>
      <c r="B9" s="3" t="s">
        <v>22</v>
      </c>
      <c r="C9" s="16" t="s">
        <v>24</v>
      </c>
      <c r="D9" s="4" t="s">
        <v>26</v>
      </c>
      <c r="E9" s="4"/>
      <c r="F9" s="4" t="s">
        <v>35</v>
      </c>
      <c r="G9" s="4"/>
      <c r="H9" s="3" t="s">
        <v>36</v>
      </c>
      <c r="I9" s="4" t="s">
        <v>26</v>
      </c>
      <c r="K9" s="18"/>
    </row>
    <row r="10" spans="1:11" ht="21.95" customHeight="1" x14ac:dyDescent="0.25">
      <c r="A10" s="5">
        <v>6</v>
      </c>
      <c r="B10" s="6" t="s">
        <v>23</v>
      </c>
      <c r="C10" s="17" t="s">
        <v>25</v>
      </c>
      <c r="D10" s="7"/>
      <c r="E10" s="7"/>
      <c r="F10" s="7"/>
      <c r="G10" s="7"/>
      <c r="H10" s="6"/>
      <c r="I10" s="7"/>
    </row>
    <row r="11" spans="1:11" ht="21.95" customHeight="1" x14ac:dyDescent="0.25">
      <c r="A11" s="2">
        <v>7</v>
      </c>
      <c r="B11" s="3" t="s">
        <v>30</v>
      </c>
      <c r="C11" s="3">
        <v>51950862887</v>
      </c>
      <c r="D11" s="4"/>
      <c r="E11" s="4"/>
      <c r="F11" s="4"/>
      <c r="G11" s="4"/>
      <c r="H11" s="3"/>
      <c r="I11" s="4"/>
    </row>
    <row r="12" spans="1:11" ht="21.95" customHeight="1" x14ac:dyDescent="0.25">
      <c r="A12" s="5">
        <v>8</v>
      </c>
      <c r="B12" s="6" t="s">
        <v>28</v>
      </c>
      <c r="C12" s="6">
        <v>51927694519</v>
      </c>
      <c r="D12" s="7" t="s">
        <v>26</v>
      </c>
      <c r="E12" s="7"/>
      <c r="F12" s="7" t="s">
        <v>26</v>
      </c>
      <c r="G12" s="7"/>
      <c r="H12" s="3" t="s">
        <v>27</v>
      </c>
      <c r="I12" s="7" t="s">
        <v>26</v>
      </c>
    </row>
    <row r="13" spans="1:11" ht="21.95" customHeight="1" x14ac:dyDescent="0.25">
      <c r="A13" s="2">
        <v>9</v>
      </c>
      <c r="B13" s="3" t="s">
        <v>31</v>
      </c>
      <c r="C13" s="3">
        <v>51958363592</v>
      </c>
      <c r="D13" s="4" t="s">
        <v>26</v>
      </c>
      <c r="E13" s="4"/>
      <c r="F13" s="4" t="s">
        <v>26</v>
      </c>
      <c r="G13" s="4"/>
      <c r="H13" s="3" t="s">
        <v>27</v>
      </c>
      <c r="I13" s="4" t="s">
        <v>26</v>
      </c>
    </row>
    <row r="14" spans="1:11" ht="21.95" customHeight="1" x14ac:dyDescent="0.25">
      <c r="A14" s="5">
        <v>10</v>
      </c>
      <c r="B14" s="6" t="s">
        <v>32</v>
      </c>
      <c r="C14" s="6"/>
      <c r="D14" s="7" t="s">
        <v>26</v>
      </c>
      <c r="E14" s="7"/>
      <c r="F14" s="7" t="s">
        <v>26</v>
      </c>
      <c r="G14" s="7"/>
      <c r="H14" s="6" t="s">
        <v>27</v>
      </c>
      <c r="I14" s="7"/>
    </row>
    <row r="15" spans="1:11" ht="21.95" customHeight="1" x14ac:dyDescent="0.25">
      <c r="A15" s="2">
        <v>11</v>
      </c>
      <c r="B15" s="3" t="s">
        <v>33</v>
      </c>
      <c r="C15" s="3"/>
      <c r="D15" s="4"/>
      <c r="E15" s="4"/>
      <c r="F15" s="4"/>
      <c r="G15" s="4"/>
      <c r="H15" s="3"/>
      <c r="I15" s="4"/>
    </row>
    <row r="16" spans="1:11" ht="21.95" customHeight="1" x14ac:dyDescent="0.25">
      <c r="A16" s="5">
        <v>12</v>
      </c>
      <c r="B16" s="6" t="s">
        <v>34</v>
      </c>
      <c r="C16" s="6">
        <v>51941930388</v>
      </c>
      <c r="D16" s="7"/>
      <c r="E16" s="7"/>
      <c r="F16" s="7"/>
      <c r="G16" s="7"/>
      <c r="H16" s="6"/>
      <c r="I16" s="7"/>
    </row>
    <row r="17" spans="1:9" ht="21.95" customHeight="1" x14ac:dyDescent="0.25">
      <c r="A17" s="2">
        <v>13</v>
      </c>
      <c r="B17" s="3"/>
      <c r="C17" s="3"/>
      <c r="D17" s="4"/>
      <c r="E17" s="4"/>
      <c r="F17" s="4"/>
      <c r="G17" s="4"/>
      <c r="H17" s="3"/>
      <c r="I17" s="4"/>
    </row>
    <row r="18" spans="1:9" ht="21.95" customHeight="1" x14ac:dyDescent="0.25">
      <c r="A18" s="5">
        <v>14</v>
      </c>
      <c r="B18" s="6"/>
      <c r="C18" s="6"/>
      <c r="D18" s="7"/>
      <c r="E18" s="7"/>
      <c r="F18" s="7"/>
      <c r="G18" s="7"/>
      <c r="H18" s="6"/>
      <c r="I18" s="7"/>
    </row>
    <row r="19" spans="1:9" ht="21.95" customHeight="1" x14ac:dyDescent="0.25">
      <c r="A19" s="2">
        <v>15</v>
      </c>
      <c r="B19" s="3"/>
      <c r="C19" s="3"/>
      <c r="D19" s="4"/>
      <c r="E19" s="4"/>
      <c r="F19" s="4"/>
      <c r="G19" s="4"/>
      <c r="H19" s="3"/>
      <c r="I19" s="4"/>
    </row>
    <row r="20" spans="1:9" ht="21.95" customHeight="1" x14ac:dyDescent="0.25">
      <c r="A20" s="5">
        <v>16</v>
      </c>
      <c r="B20" s="6"/>
      <c r="C20" s="6"/>
      <c r="D20" s="7"/>
      <c r="E20" s="7"/>
      <c r="F20" s="7"/>
      <c r="G20" s="7"/>
      <c r="H20" s="6"/>
      <c r="I20" s="7"/>
    </row>
    <row r="21" spans="1:9" ht="21.95" customHeight="1" x14ac:dyDescent="0.25">
      <c r="A21" s="2">
        <v>17</v>
      </c>
      <c r="B21" s="3"/>
      <c r="C21" s="3"/>
      <c r="D21" s="4"/>
      <c r="E21" s="4"/>
      <c r="F21" s="4"/>
      <c r="G21" s="4"/>
      <c r="H21" s="3"/>
      <c r="I21" s="4"/>
    </row>
    <row r="22" spans="1:9" ht="21.95" customHeight="1" x14ac:dyDescent="0.25">
      <c r="A22" s="5">
        <v>18</v>
      </c>
      <c r="B22" s="6"/>
      <c r="C22" s="6"/>
      <c r="D22" s="7"/>
      <c r="E22" s="7"/>
      <c r="F22" s="7"/>
      <c r="G22" s="7"/>
      <c r="H22" s="6"/>
      <c r="I22" s="7"/>
    </row>
    <row r="23" spans="1:9" ht="21.95" customHeight="1" x14ac:dyDescent="0.25">
      <c r="A23" s="2">
        <v>19</v>
      </c>
      <c r="B23" s="3"/>
      <c r="C23" s="3"/>
      <c r="D23" s="4"/>
      <c r="E23" s="4"/>
      <c r="F23" s="4"/>
      <c r="G23" s="4"/>
      <c r="H23" s="3"/>
      <c r="I23" s="4"/>
    </row>
    <row r="24" spans="1:9" ht="21.95" customHeight="1" x14ac:dyDescent="0.25">
      <c r="A24" s="5">
        <v>20</v>
      </c>
      <c r="B24" s="6"/>
      <c r="C24" s="6"/>
      <c r="D24" s="7"/>
      <c r="E24" s="7"/>
      <c r="F24" s="7"/>
      <c r="G24" s="7"/>
      <c r="H24" s="6"/>
      <c r="I24" s="7"/>
    </row>
    <row r="25" spans="1:9" ht="8.1" customHeight="1" x14ac:dyDescent="0.25"/>
    <row r="26" spans="1:9" ht="27.95" customHeight="1" x14ac:dyDescent="0.25">
      <c r="A26" s="27" t="s">
        <v>11</v>
      </c>
      <c r="B26" s="20"/>
      <c r="C26" s="20"/>
      <c r="D26" s="8"/>
      <c r="E26" s="8"/>
      <c r="F26" s="8"/>
      <c r="G26" s="8"/>
      <c r="H26" s="8"/>
      <c r="I26" s="8"/>
    </row>
    <row r="27" spans="1:9" ht="21.95" customHeight="1" x14ac:dyDescent="0.25">
      <c r="A27" s="9" t="s">
        <v>12</v>
      </c>
      <c r="B27" s="10">
        <f>COUNTA(B5:B24)</f>
        <v>12</v>
      </c>
      <c r="D27" s="21" t="s">
        <v>13</v>
      </c>
      <c r="E27" s="22"/>
      <c r="F27" s="22"/>
      <c r="G27" s="22"/>
      <c r="H27" s="22"/>
      <c r="I27" s="23"/>
    </row>
    <row r="28" spans="1:9" ht="21.95" customHeight="1" x14ac:dyDescent="0.25">
      <c r="A28" s="9" t="s">
        <v>14</v>
      </c>
      <c r="B28" s="11">
        <f>COUNTIF(D5:D24,"SÍ")</f>
        <v>0</v>
      </c>
      <c r="D28" s="24"/>
      <c r="E28" s="20"/>
      <c r="F28" s="20"/>
      <c r="G28" s="20"/>
      <c r="H28" s="20"/>
      <c r="I28" s="25"/>
    </row>
    <row r="29" spans="1:9" ht="21.95" customHeight="1" x14ac:dyDescent="0.25">
      <c r="A29" s="9" t="s">
        <v>15</v>
      </c>
      <c r="B29" s="10">
        <f>COUNTIF(D5:D24,"NO")</f>
        <v>0</v>
      </c>
      <c r="D29" s="24"/>
      <c r="E29" s="20"/>
      <c r="F29" s="20"/>
      <c r="G29" s="20"/>
      <c r="H29" s="20"/>
      <c r="I29" s="25"/>
    </row>
    <row r="30" spans="1:9" ht="21.95" customHeight="1" x14ac:dyDescent="0.25">
      <c r="A30" s="9" t="s">
        <v>16</v>
      </c>
      <c r="B30" s="11">
        <f>COUNTIF(F5:F24,"SÍ")</f>
        <v>0</v>
      </c>
      <c r="D30" s="24"/>
      <c r="E30" s="20"/>
      <c r="F30" s="20"/>
      <c r="G30" s="20"/>
      <c r="H30" s="20"/>
      <c r="I30" s="25"/>
    </row>
    <row r="31" spans="1:9" ht="21.95" customHeight="1" x14ac:dyDescent="0.25">
      <c r="A31" s="9" t="s">
        <v>17</v>
      </c>
      <c r="B31" s="12">
        <f>SUM(E5:E24)</f>
        <v>0</v>
      </c>
      <c r="D31" s="24"/>
      <c r="E31" s="20"/>
      <c r="F31" s="20"/>
      <c r="G31" s="20"/>
      <c r="H31" s="20"/>
      <c r="I31" s="25"/>
    </row>
    <row r="32" spans="1:9" ht="21.95" customHeight="1" x14ac:dyDescent="0.25">
      <c r="A32" s="9" t="s">
        <v>18</v>
      </c>
      <c r="B32" s="10">
        <f>COUNTIF(I5:I24,"SÍ")</f>
        <v>0</v>
      </c>
      <c r="D32" s="13"/>
      <c r="E32" s="14"/>
      <c r="F32" s="14"/>
      <c r="G32" s="14"/>
      <c r="H32" s="14"/>
      <c r="I32" s="15"/>
    </row>
  </sheetData>
  <mergeCells count="4">
    <mergeCell ref="A2:I2"/>
    <mergeCell ref="D27:I31"/>
    <mergeCell ref="A1:I1"/>
    <mergeCell ref="A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Listado del Grupo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RAUL</cp:lastModifiedBy>
  <dcterms:created xsi:type="dcterms:W3CDTF">2026-05-27T00:53:51Z</dcterms:created>
  <dcterms:modified xsi:type="dcterms:W3CDTF">2026-06-09T22:33:01Z</dcterms:modified>
</cp:coreProperties>
</file>